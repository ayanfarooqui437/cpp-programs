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yan\"/>
    </mc:Choice>
  </mc:AlternateContent>
  <xr:revisionPtr revIDLastSave="0" documentId="13_ncr:1_{22747617-279A-4EF8-9802-FECA9406B4FE}" xr6:coauthVersionLast="47" xr6:coauthVersionMax="47" xr10:uidLastSave="{00000000-0000-0000-0000-000000000000}"/>
  <bookViews>
    <workbookView xWindow="-120" yWindow="-120" windowWidth="20730" windowHeight="11040" xr2:uid="{048FFD52-430B-421C-BFA5-0C73B1A91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1" l="1"/>
  <c r="K11" i="1"/>
  <c r="K9" i="1"/>
  <c r="K10" i="1" s="1"/>
  <c r="F8" i="1"/>
  <c r="H8" i="1" s="1"/>
  <c r="M8" i="1" s="1"/>
  <c r="N8" i="1" s="1"/>
  <c r="F7" i="1"/>
  <c r="H7" i="1" s="1"/>
  <c r="M7" i="1" s="1"/>
  <c r="N7" i="1" s="1"/>
  <c r="F6" i="1"/>
  <c r="H6" i="1" s="1"/>
  <c r="M6" i="1" s="1"/>
  <c r="N6" i="1" s="1"/>
  <c r="F5" i="1"/>
  <c r="H5" i="1" s="1"/>
  <c r="M5" i="1" s="1"/>
  <c r="N5" i="1" s="1"/>
  <c r="F4" i="1"/>
  <c r="H4" i="1" s="1"/>
  <c r="M4" i="1" s="1"/>
  <c r="N4" i="1" s="1"/>
  <c r="N12" i="1" l="1"/>
  <c r="N9" i="1"/>
  <c r="M10" i="1"/>
  <c r="M11" i="1"/>
  <c r="M9" i="1"/>
  <c r="N10" i="1"/>
  <c r="N11" i="1"/>
  <c r="H10" i="1"/>
  <c r="H11" i="1"/>
  <c r="H12" i="1"/>
  <c r="M12" i="1"/>
</calcChain>
</file>

<file path=xl/sharedStrings.xml><?xml version="1.0" encoding="utf-8"?>
<sst xmlns="http://schemas.openxmlformats.org/spreadsheetml/2006/main" count="16" uniqueCount="16">
  <si>
    <t>PRODUCT</t>
  </si>
  <si>
    <t>COST PRICE/LITRE</t>
  </si>
  <si>
    <t>MARKUP</t>
  </si>
  <si>
    <t>SELLING PRICE</t>
  </si>
  <si>
    <t>LITRES SOLD</t>
  </si>
  <si>
    <t>Cascade</t>
  </si>
  <si>
    <t>Quench</t>
  </si>
  <si>
    <t>Xtra</t>
  </si>
  <si>
    <t>House Brand</t>
  </si>
  <si>
    <t>Sun Splash</t>
  </si>
  <si>
    <t>TOTAL INCOME</t>
  </si>
  <si>
    <t>PROFIT</t>
  </si>
  <si>
    <t>TOTAL</t>
  </si>
  <si>
    <t>AVERAGE</t>
  </si>
  <si>
    <t>HIGHEST</t>
  </si>
  <si>
    <t>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</si>
</sst>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LYONS</a:t>
            </a:r>
            <a:r>
              <a:rPr lang="en-IN" baseline="0"/>
              <a:t> INC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A00F-44AB-AF58-B963C24EA75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COST PRICE/LITRE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Sheet1!$C$4:$C$8</c:f>
              <c:numCache>
                <c:formatCode>General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0F-44AB-AF58-B963C24EA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673168"/>
        <c:axId val="586676120"/>
      </c:barChart>
      <c:catAx>
        <c:axId val="58667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6120"/>
        <c:crosses val="autoZero"/>
        <c:auto val="1"/>
        <c:lblAlgn val="ctr"/>
        <c:lblOffset val="100"/>
        <c:noMultiLvlLbl val="0"/>
      </c:catAx>
      <c:valAx>
        <c:axId val="586676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67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Sheet1!$C$3</c:f>
              <c:strCache>
                <c:ptCount val="1"/>
                <c:pt idx="0">
                  <c:v>COST PRICE/LITRE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Sheet1!$C$4:$C$8</c:f>
              <c:numCache>
                <c:formatCode>General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E-4B7E-B07A-1AE82D89F4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12</xdr:row>
      <xdr:rowOff>109537</xdr:rowOff>
    </xdr:from>
    <xdr:to>
      <xdr:col>5</xdr:col>
      <xdr:colOff>390525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C6FEF4-6806-26FE-3EAA-01F9B6DE9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933450</xdr:colOff>
      <xdr:row>13</xdr:row>
      <xdr:rowOff>42862</xdr:rowOff>
    </xdr:from>
    <xdr:to>
      <xdr:col>12</xdr:col>
      <xdr:colOff>1152525</xdr:colOff>
      <xdr:row>27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8C58A8-1F37-CFF3-8A3E-0C4AC2C40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C94816-937D-4979-BD80-D250D51DBF9F}" name="Table1" displayName="Table1" ref="A3:N12" headerRowCount="0" totalsRowShown="0" headerRowDxfId="14">
  <tableColumns count="14">
    <tableColumn id="1" xr3:uid="{5C7691CC-D5F8-42EB-991A-719982C6A045}" name="Column1" headerRowDxfId="0" dataDxfId="15"/>
    <tableColumn id="2" xr3:uid="{032D2EBC-CF54-40C8-91D1-4E0F04017C4D}" name="Column2" headerRowDxfId="1"/>
    <tableColumn id="3" xr3:uid="{5936EE56-6DB8-401E-95CA-15BB696222CB}" name="Column3" headerRowDxfId="2"/>
    <tableColumn id="4" xr3:uid="{5A6011E6-947B-4C3E-A876-ABB02EEFEFEB}" name="Column4" headerRowDxfId="3"/>
    <tableColumn id="5" xr3:uid="{1031E815-6654-4245-B0CE-EE01E08C5589}" name="Column5" headerRowDxfId="4"/>
    <tableColumn id="6" xr3:uid="{9495C683-89AA-4062-9187-9AD11C5FFDF5}" name="Column6" headerRowDxfId="5"/>
    <tableColumn id="7" xr3:uid="{9B357D9E-94C4-40FF-8568-6523DBCA50B7}" name="Column7" headerRowDxfId="6"/>
    <tableColumn id="8" xr3:uid="{EA652B6F-DF18-488F-9290-E61B21ACB36A}" name="Column8" headerRowDxfId="7"/>
    <tableColumn id="9" xr3:uid="{3E55D50A-EA17-4147-A65A-13948141081B}" name="Column9" headerRowDxfId="8"/>
    <tableColumn id="10" xr3:uid="{6D7FEE42-43BF-4C46-B094-5D232F6CA5CD}" name="Column10" headerRowDxfId="9"/>
    <tableColumn id="11" xr3:uid="{3A8633FB-1879-4D3D-895B-037C5B835522}" name="Column11" headerRowDxfId="10"/>
    <tableColumn id="12" xr3:uid="{C46E729D-8BDB-4A92-96EE-CA611C424FFE}" name="Column12" headerRowDxfId="11"/>
    <tableColumn id="13" xr3:uid="{45362D20-CAC5-4D75-8059-BF1E8DE7DB6E}" name="Column13" headerRowDxfId="12"/>
    <tableColumn id="14" xr3:uid="{B40F45C0-A3EE-459F-9388-AE22A59FA9A0}" name="Column14" headerRowDxfId="13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59CF-7490-4A91-AE5C-E79E1F81874B}">
  <dimension ref="A3:N12"/>
  <sheetViews>
    <sheetView tabSelected="1" topLeftCell="A9" workbookViewId="0">
      <selection activeCell="H21" sqref="H21"/>
    </sheetView>
  </sheetViews>
  <sheetFormatPr defaultRowHeight="15" x14ac:dyDescent="0.25"/>
  <cols>
    <col min="1" max="1" width="18" customWidth="1"/>
    <col min="2" max="2" width="11" customWidth="1"/>
    <col min="3" max="3" width="16.5703125" bestFit="1" customWidth="1"/>
    <col min="4" max="7" width="11" customWidth="1"/>
    <col min="8" max="8" width="18.28515625" customWidth="1"/>
    <col min="9" max="9" width="11" customWidth="1"/>
    <col min="10" max="12" width="12" customWidth="1"/>
    <col min="13" max="13" width="18.85546875" customWidth="1"/>
    <col min="14" max="14" width="12" customWidth="1"/>
  </cols>
  <sheetData>
    <row r="3" spans="1:14" s="1" customFormat="1" x14ac:dyDescent="0.25">
      <c r="A3" s="1" t="s">
        <v>0</v>
      </c>
      <c r="C3" s="1" t="s">
        <v>1</v>
      </c>
      <c r="F3" s="1" t="s">
        <v>2</v>
      </c>
      <c r="H3" s="1" t="s">
        <v>3</v>
      </c>
      <c r="K3" s="1" t="s">
        <v>4</v>
      </c>
      <c r="M3" s="1" t="s">
        <v>10</v>
      </c>
      <c r="N3" s="1" t="s">
        <v>11</v>
      </c>
    </row>
    <row r="4" spans="1:14" x14ac:dyDescent="0.25">
      <c r="A4" t="s">
        <v>5</v>
      </c>
      <c r="C4">
        <v>3.75</v>
      </c>
      <c r="F4">
        <f>C4*35%</f>
        <v>1.3125</v>
      </c>
      <c r="H4">
        <f>SUM(C4+F4)</f>
        <v>5.0625</v>
      </c>
      <c r="K4">
        <v>234</v>
      </c>
      <c r="M4">
        <f>K4*H4</f>
        <v>1184.625</v>
      </c>
      <c r="N4">
        <f>M4-(C4*K4)</f>
        <v>307.125</v>
      </c>
    </row>
    <row r="5" spans="1:14" x14ac:dyDescent="0.25">
      <c r="A5" t="s">
        <v>6</v>
      </c>
      <c r="C5">
        <v>3.65</v>
      </c>
      <c r="F5">
        <f>C5*35%</f>
        <v>1.2774999999999999</v>
      </c>
      <c r="H5">
        <f>SUM(C5+F5)</f>
        <v>4.9275000000000002</v>
      </c>
      <c r="K5">
        <v>345</v>
      </c>
      <c r="M5">
        <f>K5*H5</f>
        <v>1699.9875000000002</v>
      </c>
      <c r="N5">
        <f>M5-(C5*K5)</f>
        <v>440.73750000000018</v>
      </c>
    </row>
    <row r="6" spans="1:14" x14ac:dyDescent="0.25">
      <c r="A6" t="s">
        <v>7</v>
      </c>
      <c r="C6">
        <v>4.25</v>
      </c>
      <c r="F6">
        <f>C6*35%</f>
        <v>1.4874999999999998</v>
      </c>
      <c r="H6">
        <f>SUM(C6+F6)</f>
        <v>5.7374999999999998</v>
      </c>
      <c r="K6">
        <v>456</v>
      </c>
      <c r="M6">
        <f>K6*H6</f>
        <v>2616.2999999999997</v>
      </c>
      <c r="N6">
        <f>M6-(C6*K6)</f>
        <v>678.29999999999973</v>
      </c>
    </row>
    <row r="7" spans="1:14" x14ac:dyDescent="0.25">
      <c r="A7" t="s">
        <v>9</v>
      </c>
      <c r="C7">
        <v>1.5</v>
      </c>
      <c r="F7">
        <f>C7*35%</f>
        <v>0.52499999999999991</v>
      </c>
      <c r="H7">
        <f>SUM(C7+F7)</f>
        <v>2.0249999999999999</v>
      </c>
      <c r="K7">
        <v>123</v>
      </c>
      <c r="M7">
        <f>K7*H7</f>
        <v>249.07499999999999</v>
      </c>
      <c r="N7">
        <f>M7-(C7*K7)</f>
        <v>64.574999999999989</v>
      </c>
    </row>
    <row r="8" spans="1:14" x14ac:dyDescent="0.25">
      <c r="A8" t="s">
        <v>8</v>
      </c>
      <c r="C8">
        <v>1.5</v>
      </c>
      <c r="F8">
        <f>C8*35%</f>
        <v>0.52499999999999991</v>
      </c>
      <c r="H8">
        <f>SUM(C8+F8)</f>
        <v>2.0249999999999999</v>
      </c>
      <c r="K8">
        <v>245</v>
      </c>
      <c r="M8">
        <f>K8*H8</f>
        <v>496.125</v>
      </c>
      <c r="N8">
        <f>M8-(C8*K8)</f>
        <v>128.625</v>
      </c>
    </row>
    <row r="9" spans="1:14" x14ac:dyDescent="0.25">
      <c r="A9" s="1" t="s">
        <v>12</v>
      </c>
      <c r="K9">
        <f>SUM(K4:K8)</f>
        <v>1403</v>
      </c>
      <c r="M9">
        <f>SUM(M4:M8)</f>
        <v>6246.1125000000002</v>
      </c>
      <c r="N9">
        <f>SUM(N4:N8)</f>
        <v>1619.3625</v>
      </c>
    </row>
    <row r="10" spans="1:14" x14ac:dyDescent="0.25">
      <c r="A10" s="1" t="s">
        <v>13</v>
      </c>
      <c r="H10">
        <f>AVERAGE(H4:H8)</f>
        <v>3.9554999999999993</v>
      </c>
      <c r="K10">
        <f>AVERAGE(K4:K9)</f>
        <v>467.66666666666669</v>
      </c>
      <c r="M10">
        <f>AVERAGE(M4:M8)</f>
        <v>1249.2225000000001</v>
      </c>
      <c r="N10">
        <f>AVERAGE(N4:N8)</f>
        <v>323.8725</v>
      </c>
    </row>
    <row r="11" spans="1:14" x14ac:dyDescent="0.25">
      <c r="A11" s="1" t="s">
        <v>14</v>
      </c>
      <c r="H11">
        <f>MAX(H4:H8)</f>
        <v>5.7374999999999998</v>
      </c>
      <c r="K11">
        <f>MAX(K4:K8)</f>
        <v>456</v>
      </c>
      <c r="M11">
        <f>MAX(M4:M8)</f>
        <v>2616.2999999999997</v>
      </c>
      <c r="N11">
        <f>MAX(N4:N8)</f>
        <v>678.29999999999973</v>
      </c>
    </row>
    <row r="12" spans="1:14" x14ac:dyDescent="0.25">
      <c r="A12" s="1" t="s">
        <v>15</v>
      </c>
      <c r="H12">
        <f>MIN(H4:H8)</f>
        <v>2.0249999999999999</v>
      </c>
      <c r="K12">
        <f>MIN(K4:K8)</f>
        <v>123</v>
      </c>
      <c r="M12">
        <f>MIN(M4:M8)</f>
        <v>249.07499999999999</v>
      </c>
      <c r="N12">
        <f>MIN(N4:N8)</f>
        <v>64.574999999999989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2026-08-12T07:08:37Z</dcterms:created>
  <dcterms:modified xsi:type="dcterms:W3CDTF">2026-08-12T07:53:25Z</dcterms:modified>
</cp:coreProperties>
</file>