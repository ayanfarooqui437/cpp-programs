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yan\"/>
    </mc:Choice>
  </mc:AlternateContent>
  <xr:revisionPtr revIDLastSave="0" documentId="13_ncr:1_{30730D8D-E2FD-42CA-B6E9-72AD24A61D38}" xr6:coauthVersionLast="47" xr6:coauthVersionMax="47" xr10:uidLastSave="{00000000-0000-0000-0000-000000000000}"/>
  <bookViews>
    <workbookView xWindow="-120" yWindow="-120" windowWidth="20730" windowHeight="11040" xr2:uid="{32BB964B-5DEC-415F-AFC7-F8B006B4E78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G11" i="1" l="1"/>
  <c r="G9" i="1"/>
  <c r="C10" i="1"/>
  <c r="C9" i="1"/>
  <c r="C13" i="1" s="1"/>
  <c r="G13" i="1" l="1"/>
  <c r="G15" i="1" s="1"/>
</calcChain>
</file>

<file path=xl/sharedStrings.xml><?xml version="1.0" encoding="utf-8"?>
<sst xmlns="http://schemas.openxmlformats.org/spreadsheetml/2006/main" count="22" uniqueCount="21">
  <si>
    <t>SALARY ADVICE FOR MARCH 2026</t>
  </si>
  <si>
    <t>EMPLOYEE</t>
  </si>
  <si>
    <t>DATE</t>
  </si>
  <si>
    <t>BASIC SALARY p.a.</t>
  </si>
  <si>
    <t>T MARONGO</t>
  </si>
  <si>
    <t>STAFF NO</t>
  </si>
  <si>
    <t xml:space="preserve">NEXT PAY DATE </t>
  </si>
  <si>
    <t>INCOME</t>
  </si>
  <si>
    <t>AMOUNT</t>
  </si>
  <si>
    <t>DEDUCTIONS</t>
  </si>
  <si>
    <t>Baic Salary</t>
  </si>
  <si>
    <t>Housing Subsidy</t>
  </si>
  <si>
    <t>Vehicle Allowance</t>
  </si>
  <si>
    <t>Medical Aid</t>
  </si>
  <si>
    <t>Gross Income</t>
  </si>
  <si>
    <t>Pension @8%</t>
  </si>
  <si>
    <t>P.A.Y.E.</t>
  </si>
  <si>
    <t>U.I.F.</t>
  </si>
  <si>
    <t>Bond Repayment</t>
  </si>
  <si>
    <t>Total Deduction</t>
  </si>
  <si>
    <t>Net Salary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</si>
</sst>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15" fontId="0" fillId="0" borderId="0" xfId="0" applyNumberFormat="1"/>
    <xf numFmtId="0" fontId="0" fillId="0" borderId="0" xfId="0" applyFont="1"/>
  </cellXfs>
  <cellStyles count="1">
    <cellStyle name="Normal" xfId="0" builtinId="0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D6F9AA1-8A5A-4773-B93F-48A7C4277B0D}" name="Table1" displayName="Table1" ref="A4:H16" headerRowCount="0" totalsRowShown="0">
  <tableColumns count="8">
    <tableColumn id="1" xr3:uid="{620B775E-1916-4D90-A8EB-4C3076CFD0E9}" name="Column1" headerRowDxfId="0"/>
    <tableColumn id="2" xr3:uid="{F1079B1F-D195-48F8-9A21-47BC563BA766}" name="Column2"/>
    <tableColumn id="3" xr3:uid="{41F3DF75-CDE0-4857-A2E2-FE15E0F3540D}" name="Column3"/>
    <tableColumn id="4" xr3:uid="{81B332F5-5CC3-4088-9978-C60E582DEC1A}" name="Column4"/>
    <tableColumn id="5" xr3:uid="{6CFEA510-8D8E-4A58-B7C9-966259CC859B}" name="Column5" headerRowDxfId="1"/>
    <tableColumn id="6" xr3:uid="{A6E7A0BA-C5AB-4594-B9D7-73951125B110}" name="Column6" headerRowDxfId="2"/>
    <tableColumn id="8" xr3:uid="{BAF1071D-ED9E-4068-8603-F56CDD91215B}" name="Column8"/>
    <tableColumn id="9" xr3:uid="{E7A0A7C9-9621-4C60-B0CC-8839B2F82C96}" name="Column9"/>
  </tableColumns>
  <tableStyleInfo name="TableStyleMedium28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1E6E86-C629-4C10-814D-C23EF8172874}">
  <dimension ref="A1:G15"/>
  <sheetViews>
    <sheetView tabSelected="1" workbookViewId="0">
      <selection activeCell="K14" sqref="K14"/>
    </sheetView>
  </sheetViews>
  <sheetFormatPr defaultRowHeight="15" x14ac:dyDescent="0.25"/>
  <cols>
    <col min="1" max="1" width="18.7109375" customWidth="1"/>
    <col min="2" max="8" width="11" customWidth="1"/>
  </cols>
  <sheetData>
    <row r="1" spans="1:7" ht="18.75" x14ac:dyDescent="0.3">
      <c r="A1" s="2" t="s">
        <v>0</v>
      </c>
    </row>
    <row r="4" spans="1:7" x14ac:dyDescent="0.25">
      <c r="A4" s="1" t="s">
        <v>1</v>
      </c>
      <c r="C4" t="s">
        <v>4</v>
      </c>
      <c r="E4" s="1" t="s">
        <v>5</v>
      </c>
      <c r="F4" s="1"/>
      <c r="G4">
        <v>4</v>
      </c>
    </row>
    <row r="5" spans="1:7" x14ac:dyDescent="0.25">
      <c r="A5" s="1" t="s">
        <v>2</v>
      </c>
      <c r="B5" s="1"/>
      <c r="C5" s="3">
        <v>46112</v>
      </c>
      <c r="E5" s="1" t="s">
        <v>6</v>
      </c>
      <c r="F5" s="1"/>
      <c r="G5" s="3">
        <v>46142</v>
      </c>
    </row>
    <row r="6" spans="1:7" x14ac:dyDescent="0.25">
      <c r="A6" s="1" t="s">
        <v>3</v>
      </c>
      <c r="B6" s="1"/>
      <c r="C6">
        <v>31200</v>
      </c>
    </row>
    <row r="8" spans="1:7" x14ac:dyDescent="0.25">
      <c r="A8" s="1" t="s">
        <v>7</v>
      </c>
      <c r="C8" s="1" t="s">
        <v>8</v>
      </c>
      <c r="D8" s="1"/>
      <c r="E8" s="1" t="s">
        <v>9</v>
      </c>
      <c r="F8" s="1"/>
      <c r="G8" s="1" t="s">
        <v>8</v>
      </c>
    </row>
    <row r="9" spans="1:7" x14ac:dyDescent="0.25">
      <c r="A9" s="4" t="s">
        <v>10</v>
      </c>
      <c r="B9" s="4"/>
      <c r="C9">
        <f>31200/12</f>
        <v>2600</v>
      </c>
      <c r="E9" s="4" t="s">
        <v>15</v>
      </c>
      <c r="F9" s="4"/>
      <c r="G9">
        <f>C9*8%</f>
        <v>208</v>
      </c>
    </row>
    <row r="10" spans="1:7" x14ac:dyDescent="0.25">
      <c r="A10" s="4" t="s">
        <v>11</v>
      </c>
      <c r="B10" s="4"/>
      <c r="C10">
        <f>6000/12</f>
        <v>500</v>
      </c>
      <c r="E10" s="4" t="s">
        <v>16</v>
      </c>
      <c r="F10" s="4"/>
      <c r="G10">
        <v>636.83000000000004</v>
      </c>
    </row>
    <row r="11" spans="1:7" x14ac:dyDescent="0.25">
      <c r="A11" s="4" t="s">
        <v>12</v>
      </c>
      <c r="B11" s="4"/>
      <c r="C11">
        <v>100</v>
      </c>
      <c r="E11" s="4" t="s">
        <v>17</v>
      </c>
      <c r="F11" s="4"/>
      <c r="G11">
        <f>(C9+C10)*1%</f>
        <v>31</v>
      </c>
    </row>
    <row r="12" spans="1:7" x14ac:dyDescent="0.25">
      <c r="A12" s="4" t="s">
        <v>13</v>
      </c>
      <c r="B12" s="4"/>
      <c r="C12">
        <v>70</v>
      </c>
      <c r="E12" s="4" t="s">
        <v>18</v>
      </c>
      <c r="F12" s="4"/>
      <c r="G12">
        <v>630</v>
      </c>
    </row>
    <row r="13" spans="1:7" x14ac:dyDescent="0.25">
      <c r="A13" s="4" t="s">
        <v>14</v>
      </c>
      <c r="B13" s="4"/>
      <c r="C13">
        <f>SUM(C9:C12)</f>
        <v>3270</v>
      </c>
      <c r="E13" s="4" t="s">
        <v>19</v>
      </c>
      <c r="F13" s="4"/>
      <c r="G13">
        <f>SUM(G9:G12)</f>
        <v>1505.83</v>
      </c>
    </row>
    <row r="15" spans="1:7" x14ac:dyDescent="0.25">
      <c r="E15" s="1" t="s">
        <v>20</v>
      </c>
      <c r="G15">
        <f>C13-G13</f>
        <v>1764.17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CSD</dc:creator>
  <cp:lastModifiedBy>CSD</cp:lastModifiedBy>
  <dcterms:created xsi:type="dcterms:W3CDTF">2026-08-12T06:34:14Z</dcterms:created>
  <dcterms:modified xsi:type="dcterms:W3CDTF">2026-08-12T07:53:21Z</dcterms:modified>
</cp:coreProperties>
</file>